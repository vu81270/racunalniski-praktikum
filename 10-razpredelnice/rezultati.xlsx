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81270\Documents\racunalniski-praktikum\10-razpredelnice\"/>
    </mc:Choice>
  </mc:AlternateContent>
  <xr:revisionPtr revIDLastSave="0" documentId="13_ncr:1_{D006C1DA-24A7-4B55-9460-15934D5A5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<sst xmlns="http://schemas.openxmlformats.org/spreadsheetml/2006/main" count="105" uniqueCount="71">
  <si>
    <t>Priimek</t>
  </si>
  <si>
    <t>Ime</t>
  </si>
  <si>
    <t>Skupina</t>
  </si>
  <si>
    <t>Točke</t>
  </si>
  <si>
    <t>Opravil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</si>
  <si>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</si>
  <si>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</si>
  <si>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</si>
  <si>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</si>
  <si>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</si>
  <si>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</si>
  <si>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</si>
  <si>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</si>
  <si>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</si>
  <si>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</si>
  <si>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</si>
  <si>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</si>
  <si>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</si>
  <si>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</si>
  <si>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</si>
  <si>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</si>
  <si>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</si>
  <si>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</si>
  <si>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</si>
  <si>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</si>
  <si>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</si>
  <si>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</si>
  <si>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</si>
  <si>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</si>
  <si>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</si>
  <si>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</si>
  <si>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</si>
  <si>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</si>
  <si>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</si>
  <si>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</si>
  <si>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</si>
  <si>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</si>
  <si>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</si>
  <si>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</si>
  <si>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</si>
  <si>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</si>
  <si>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</si>
  <si>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</si>
  <si>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</si>
  <si>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</si>
  <si>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</si>
  <si>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</si>
  <si>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</si>
  <si>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</si>
  <si>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</si>
  <si>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</si>
  <si>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</si>
  <si>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</si>
  <si>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</si>
  <si>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</si>
  <si>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</si>
  <si>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</si>
  <si>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</si>
  <si>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</si>
  <si>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</si>
  <si>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</si>
  <si>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</si>
  <si>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</si>
  <si>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</si>
  <si>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</si>
  <si>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Average of Točke</t>
  </si>
  <si>
    <t>Row Labels</t>
  </si>
  <si>
    <t>Grand Total</t>
  </si>
  <si>
    <t>Min of Točke</t>
  </si>
  <si>
    <t>Max of Točke</t>
  </si>
  <si>
    <t>Count of Priimek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</si>
</sst>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</a:t>
            </a:r>
            <a:r>
              <a:rPr lang="en-US" b="1" baseline="0"/>
              <a:t> skupin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explosion val="31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D4-4114-98A5-3B73EB10F0DE}"/>
              </c:ext>
            </c:extLst>
          </c:dPt>
          <c:dPt>
            <c:idx val="1"/>
            <c:bubble3D val="0"/>
            <c:explosion val="28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8D4-4114-98A5-3B73EB10F0DE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8D4-4114-98A5-3B73EB10F0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4-4114-98A5-3B73EB10F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Število</a:t>
            </a:r>
            <a:r>
              <a:rPr lang="en-US" b="1" baseline="0"/>
              <a:t> točk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>
        <c:manualLayout>
          <c:layoutTarget val="inner"/>
          <c:xMode val="edge"/>
          <c:yMode val="edge"/>
          <c:x val="0.1856414003933963"/>
          <c:y val="0.30113501611057208"/>
          <c:w val="0.67699240611164901"/>
          <c:h val="0.4100684676953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2-42FA-83B9-032AB6ECD12E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2-42FA-83B9-032AB6EC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205568"/>
        <c:axId val="1182205984"/>
      </c:barChart>
      <c:catAx>
        <c:axId val="11822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82205984"/>
        <c:crosses val="autoZero"/>
        <c:auto val="1"/>
        <c:lblAlgn val="ctr"/>
        <c:lblOffset val="100"/>
        <c:noMultiLvlLbl val="0"/>
      </c:catAx>
      <c:valAx>
        <c:axId val="11822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822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15</xdr:row>
      <xdr:rowOff>4762</xdr:rowOff>
    </xdr:from>
    <xdr:to>
      <xdr:col>10</xdr:col>
      <xdr:colOff>495300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75CD9-C933-48B8-85CF-74D02D1A2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19049</xdr:colOff>
      <xdr:row>15</xdr:row>
      <xdr:rowOff>0</xdr:rowOff>
    </xdr:from>
    <xdr:to>
      <xdr:col>16</xdr:col>
      <xdr:colOff>295275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D04D7-B2A1-4D5E-8EBF-69537E799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bančič, Veronika" refreshedDate="46000.532340393518" createdVersion="7" refreshedVersion="7" minRefreshableVersion="3" recordCount="28" xr:uid="{7E398DA1-0C31-4E63-A96B-2BD822A32D1E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9A8B2-F8BC-4DC0-84B5-EF6D432CFCC8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9:L13" firstHeaderRow="0" firstDataRow="1" firstDataCol="1"/>
  <pivotFields count="5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riimek" fld="0" subtotal="count" baseField="0" baseItem="0"/>
    <dataField name="Average of Točke" fld="3" subtotal="average" baseField="0" baseItem="9"/>
    <dataField name="Max of Točke" fld="3" subtotal="max" baseField="2" baseItem="0"/>
    <dataField name="Min of Točke" fld="3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7">
      <calculatedColumnFormula>IF(Rezultati[[#This Row],[Točke]]&gt;49,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Skupina"/>
    <tableColumn id="2" xr3:uid="{EA7356A2-0D38-5D42-A1AC-E30DC5D5C796}" name="Udeležba" dataDxfId="6">
      <calculatedColumnFormula>COUNTIF(Rezultati[Skupina],Skupine[[#This Row],[Skupina]])</calculatedColumnFormula>
    </tableColumn>
    <tableColumn id="3" xr3:uid="{49F9352C-9597-4E44-8122-AF1CE6CE856F}" name="2022" dataDxfId="5">
      <calculatedColumnFormula>AVERAGEIF(Rezultati[Skupina],Skupine[[#This Row],[Skupina]],Rezultati[Točke])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I28" sqref="I28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16" bestFit="1" customWidth="1"/>
    <col min="10" max="10" width="16.28515625" bestFit="1" customWidth="1"/>
    <col min="11" max="11" width="12.7109375" bestFit="1" customWidth="1"/>
    <col min="12" max="12" width="12.425781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</v>
      </c>
      <c r="I2" t="s">
        <v>5</v>
      </c>
      <c r="J2" t="s">
        <v>64</v>
      </c>
      <c r="K2" t="s">
        <v>63</v>
      </c>
    </row>
    <row r="3" spans="2:12" x14ac:dyDescent="0.25">
      <c r="B3" t="s">
        <v>61</v>
      </c>
      <c r="C3" t="s">
        <v>62</v>
      </c>
      <c r="D3" t="s">
        <v>11</v>
      </c>
      <c r="E3">
        <v>38</v>
      </c>
      <c r="F3" t="str">
        <f>IF(Rezultati[[#This Row],[Točke]]&gt;49, "da", "ne")</f>
        <v>ne</v>
      </c>
      <c r="H3" t="s">
        <v>8</v>
      </c>
      <c r="I3">
        <f>COUNTIF(Rezultati[Skupina],Skupine[[#This Row],[Skupina]])</f>
        <v>9</v>
      </c>
      <c r="J3" s="1">
        <f>AVERAGEIF(Rezultati[Skupina],Skupine[[#This Row],[Skupina]],Rezultati[Točke])</f>
        <v>58.222222222222221</v>
      </c>
      <c r="K3">
        <v>66.84</v>
      </c>
    </row>
    <row r="4" spans="2:12" x14ac:dyDescent="0.25">
      <c r="B4" t="s">
        <v>33</v>
      </c>
      <c r="C4" t="s">
        <v>34</v>
      </c>
      <c r="D4" t="s">
        <v>11</v>
      </c>
      <c r="E4">
        <v>39</v>
      </c>
      <c r="F4" t="str">
        <f>IF(Rezultati[[#This Row],[Točke]]&gt;49, "da", "ne")</f>
        <v>ne</v>
      </c>
      <c r="H4" t="s">
        <v>11</v>
      </c>
      <c r="I4">
        <f>COUNTIF(Rezultati[Skupina],Skupine[[#This Row],[Skupina]])</f>
        <v>12</v>
      </c>
      <c r="J4" s="1">
        <f>AVERAGEIF(Rezultati[Skupina],Skupine[[#This Row],[Skupina]],Rezultati[Točke])</f>
        <v>66.5</v>
      </c>
      <c r="K4">
        <v>52.35</v>
      </c>
    </row>
    <row r="5" spans="2:12" x14ac:dyDescent="0.25">
      <c r="B5" t="s">
        <v>6</v>
      </c>
      <c r="C5" t="s">
        <v>35</v>
      </c>
      <c r="D5" t="s">
        <v>11</v>
      </c>
      <c r="E5">
        <v>36</v>
      </c>
      <c r="F5" t="str">
        <f>IF(Rezultati[[#This Row],[Točke]]&gt;49, "da", "ne")</f>
        <v>ne</v>
      </c>
      <c r="H5" t="s">
        <v>14</v>
      </c>
      <c r="I5">
        <f>COUNTIF(Rezultati[Skupina],Skupine[[#This Row],[Skupina]])</f>
        <v>7</v>
      </c>
      <c r="J5" s="1">
        <f>AVERAGEIF(Rezultati[Skupina],Skupine[[#This Row],[Skupina]],Rezultati[Točke])</f>
        <v>47.714285714285715</v>
      </c>
      <c r="K5">
        <v>49.66</v>
      </c>
    </row>
    <row r="6" spans="2:12" x14ac:dyDescent="0.25">
      <c r="B6" t="s">
        <v>6</v>
      </c>
      <c r="C6" t="s">
        <v>7</v>
      </c>
      <c r="D6" t="s">
        <v>8</v>
      </c>
      <c r="E6">
        <v>93</v>
      </c>
      <c r="F6" t="str">
        <f>IF(Rezultati[[#This Row],[Točke]]&gt;49, "da", "ne")</f>
        <v>da</v>
      </c>
    </row>
    <row r="7" spans="2:12" x14ac:dyDescent="0.25">
      <c r="B7" t="s">
        <v>36</v>
      </c>
      <c r="C7" t="s">
        <v>37</v>
      </c>
      <c r="D7" t="s">
        <v>8</v>
      </c>
      <c r="E7">
        <v>77</v>
      </c>
      <c r="F7" t="str">
        <f>IF(Rezultati[[#This Row],[Točke]]&gt;49, "da", "ne")</f>
        <v>da</v>
      </c>
    </row>
    <row r="8" spans="2:12" x14ac:dyDescent="0.25">
      <c r="B8" t="s">
        <v>38</v>
      </c>
      <c r="C8" t="s">
        <v>39</v>
      </c>
      <c r="D8" t="s">
        <v>11</v>
      </c>
      <c r="E8">
        <v>100</v>
      </c>
      <c r="F8" t="str">
        <f>IF(Rezultati[[#This Row],[Točke]]&gt;49, "da", "ne")</f>
        <v>da</v>
      </c>
    </row>
    <row r="9" spans="2:12" x14ac:dyDescent="0.25">
      <c r="B9" t="s">
        <v>9</v>
      </c>
      <c r="C9" t="s">
        <v>10</v>
      </c>
      <c r="D9" t="s">
        <v>8</v>
      </c>
      <c r="E9">
        <v>94</v>
      </c>
      <c r="F9" t="str">
        <f>IF(Rezultati[[#This Row],[Točke]]&gt;49, "da", "ne")</f>
        <v>da</v>
      </c>
      <c r="H9" s="3" t="s">
        <v>66</v>
      </c>
      <c r="I9" t="s">
        <v>70</v>
      </c>
      <c r="J9" t="s">
        <v>65</v>
      </c>
      <c r="K9" t="s">
        <v>69</v>
      </c>
      <c r="L9" t="s">
        <v>68</v>
      </c>
    </row>
    <row r="10" spans="2:12" x14ac:dyDescent="0.25">
      <c r="B10" t="s">
        <v>40</v>
      </c>
      <c r="C10" t="s">
        <v>41</v>
      </c>
      <c r="D10" t="s">
        <v>14</v>
      </c>
      <c r="E10">
        <v>26</v>
      </c>
      <c r="F10" t="str">
        <f>IF(Rezultati[[#This Row],[Točke]]&gt;49, "da", "ne")</f>
        <v>ne</v>
      </c>
      <c r="H10" s="4" t="s">
        <v>8</v>
      </c>
      <c r="I10" s="2">
        <v>9</v>
      </c>
      <c r="J10" s="2">
        <v>58.222222222222221</v>
      </c>
      <c r="K10" s="2">
        <v>94</v>
      </c>
      <c r="L10" s="2">
        <v>34</v>
      </c>
    </row>
    <row r="11" spans="2:12" x14ac:dyDescent="0.25">
      <c r="B11" t="s">
        <v>12</v>
      </c>
      <c r="C11" t="s">
        <v>13</v>
      </c>
      <c r="D11" t="s">
        <v>11</v>
      </c>
      <c r="E11">
        <v>44</v>
      </c>
      <c r="F11" t="str">
        <f>IF(Rezultati[[#This Row],[Točke]]&gt;49, "da", "ne")</f>
        <v>ne</v>
      </c>
      <c r="H11" s="4" t="s">
        <v>11</v>
      </c>
      <c r="I11" s="2">
        <v>12</v>
      </c>
      <c r="J11" s="2">
        <v>66.5</v>
      </c>
      <c r="K11" s="2">
        <v>100</v>
      </c>
      <c r="L11" s="2">
        <v>36</v>
      </c>
    </row>
    <row r="12" spans="2:12" x14ac:dyDescent="0.25">
      <c r="B12" t="s">
        <v>15</v>
      </c>
      <c r="C12" t="s">
        <v>16</v>
      </c>
      <c r="D12" t="s">
        <v>14</v>
      </c>
      <c r="E12">
        <v>34</v>
      </c>
      <c r="F12" t="str">
        <f>IF(Rezultati[[#This Row],[Točke]]&gt;49, "da", "ne")</f>
        <v>ne</v>
      </c>
      <c r="H12" s="4" t="s">
        <v>14</v>
      </c>
      <c r="I12" s="2">
        <v>7</v>
      </c>
      <c r="J12" s="2">
        <v>47.714285714285715</v>
      </c>
      <c r="K12" s="2">
        <v>76</v>
      </c>
      <c r="L12" s="2">
        <v>26</v>
      </c>
    </row>
    <row r="13" spans="2:12" x14ac:dyDescent="0.25">
      <c r="B13" t="s">
        <v>42</v>
      </c>
      <c r="C13" t="s">
        <v>43</v>
      </c>
      <c r="D13" t="s">
        <v>11</v>
      </c>
      <c r="E13">
        <v>86</v>
      </c>
      <c r="F13" t="str">
        <f>IF(Rezultati[[#This Row],[Točke]]&gt;49, "da", "ne")</f>
        <v>da</v>
      </c>
      <c r="H13" s="4" t="s">
        <v>67</v>
      </c>
      <c r="I13" s="2">
        <v>28</v>
      </c>
      <c r="J13" s="2">
        <v>59.142857142857146</v>
      </c>
      <c r="K13" s="2">
        <v>100</v>
      </c>
      <c r="L13" s="2">
        <v>26</v>
      </c>
    </row>
    <row r="14" spans="2:12" x14ac:dyDescent="0.25">
      <c r="B14" t="s">
        <v>44</v>
      </c>
      <c r="C14" t="s">
        <v>45</v>
      </c>
      <c r="D14" t="s">
        <v>11</v>
      </c>
      <c r="E14">
        <v>90</v>
      </c>
      <c r="F14" t="str">
        <f>IF(Rezultati[[#This Row],[Točke]]&gt;49, "da", "ne")</f>
        <v>da</v>
      </c>
    </row>
    <row r="15" spans="2:12" x14ac:dyDescent="0.25">
      <c r="B15" t="s">
        <v>17</v>
      </c>
      <c r="C15" t="s">
        <v>18</v>
      </c>
      <c r="D15" t="s">
        <v>11</v>
      </c>
      <c r="E15">
        <v>67</v>
      </c>
      <c r="F15" t="str">
        <f>IF(Rezultati[[#This Row],[Točke]]&gt;49, "da", "ne")</f>
        <v>da</v>
      </c>
    </row>
    <row r="16" spans="2:12" x14ac:dyDescent="0.25">
      <c r="B16" t="s">
        <v>19</v>
      </c>
      <c r="C16" t="s">
        <v>20</v>
      </c>
      <c r="D16" t="s">
        <v>8</v>
      </c>
      <c r="E16">
        <v>42</v>
      </c>
      <c r="F16" t="str">
        <f>IF(Rezultati[[#This Row],[Točke]]&gt;49, "da", "ne")</f>
        <v>ne</v>
      </c>
    </row>
    <row r="17" spans="2:6" x14ac:dyDescent="0.25">
      <c r="B17" t="s">
        <v>46</v>
      </c>
      <c r="C17" t="s">
        <v>47</v>
      </c>
      <c r="D17" t="s">
        <v>14</v>
      </c>
      <c r="E17">
        <v>44</v>
      </c>
      <c r="F17" t="str">
        <f>IF(Rezultati[[#This Row],[Točke]]&gt;49, "da", "ne")</f>
        <v>ne</v>
      </c>
    </row>
    <row r="18" spans="2:6" x14ac:dyDescent="0.25">
      <c r="B18" t="s">
        <v>21</v>
      </c>
      <c r="C18" t="s">
        <v>22</v>
      </c>
      <c r="D18" t="s">
        <v>11</v>
      </c>
      <c r="E18">
        <v>64</v>
      </c>
      <c r="F18" t="str">
        <f>IF(Rezultati[[#This Row],[Točke]]&gt;49, "da", "ne")</f>
        <v>da</v>
      </c>
    </row>
    <row r="19" spans="2:6" x14ac:dyDescent="0.25">
      <c r="B19" t="s">
        <v>23</v>
      </c>
      <c r="C19" t="s">
        <v>24</v>
      </c>
      <c r="D19" t="s">
        <v>14</v>
      </c>
      <c r="E19">
        <v>30</v>
      </c>
      <c r="F19" t="str">
        <f>IF(Rezultati[[#This Row],[Točke]]&gt;49, "da", "ne")</f>
        <v>ne</v>
      </c>
    </row>
    <row r="20" spans="2:6" x14ac:dyDescent="0.25">
      <c r="B20" t="s">
        <v>48</v>
      </c>
      <c r="C20" t="s">
        <v>28</v>
      </c>
      <c r="D20" t="s">
        <v>8</v>
      </c>
      <c r="E20">
        <v>57</v>
      </c>
      <c r="F20" t="str">
        <f>IF(Rezultati[[#This Row],[Točke]]&gt;49, "da", "ne")</f>
        <v>da</v>
      </c>
    </row>
    <row r="21" spans="2:6" x14ac:dyDescent="0.25">
      <c r="B21" t="s">
        <v>49</v>
      </c>
      <c r="C21" t="s">
        <v>50</v>
      </c>
      <c r="D21" t="s">
        <v>8</v>
      </c>
      <c r="E21">
        <v>43</v>
      </c>
      <c r="F21" t="str">
        <f>IF(Rezultati[[#This Row],[Točke]]&gt;49, "da", "ne")</f>
        <v>ne</v>
      </c>
    </row>
    <row r="22" spans="2:6" x14ac:dyDescent="0.25">
      <c r="B22" t="s">
        <v>59</v>
      </c>
      <c r="C22" t="s">
        <v>60</v>
      </c>
      <c r="D22" t="s">
        <v>8</v>
      </c>
      <c r="E22">
        <v>38</v>
      </c>
      <c r="F22" t="str">
        <f>IF(Rezultati[[#This Row],[Točke]]&gt;49, "da", "ne")</f>
        <v>ne</v>
      </c>
    </row>
    <row r="23" spans="2:6" x14ac:dyDescent="0.25">
      <c r="B23" t="s">
        <v>51</v>
      </c>
      <c r="C23" t="s">
        <v>52</v>
      </c>
      <c r="D23" t="s">
        <v>11</v>
      </c>
      <c r="E23">
        <v>85</v>
      </c>
      <c r="F23" t="str">
        <f>IF(Rezultati[[#This Row],[Točke]]&gt;49, "da", "ne")</f>
        <v>da</v>
      </c>
    </row>
    <row r="24" spans="2:6" x14ac:dyDescent="0.25">
      <c r="B24" t="s">
        <v>53</v>
      </c>
      <c r="C24" t="s">
        <v>54</v>
      </c>
      <c r="D24" t="s">
        <v>14</v>
      </c>
      <c r="E24">
        <v>76</v>
      </c>
      <c r="F24" t="str">
        <f>IF(Rezultati[[#This Row],[Točke]]&gt;49, "da", "ne")</f>
        <v>da</v>
      </c>
    </row>
    <row r="25" spans="2:6" x14ac:dyDescent="0.25">
      <c r="B25" t="s">
        <v>55</v>
      </c>
      <c r="C25" t="s">
        <v>56</v>
      </c>
      <c r="D25" t="s">
        <v>8</v>
      </c>
      <c r="E25">
        <v>34</v>
      </c>
      <c r="F25" t="str">
        <f>IF(Rezultati[[#This Row],[Točke]]&gt;49, "da", "ne")</f>
        <v>ne</v>
      </c>
    </row>
    <row r="26" spans="2:6" x14ac:dyDescent="0.25">
      <c r="B26" t="s">
        <v>57</v>
      </c>
      <c r="C26" t="s">
        <v>58</v>
      </c>
      <c r="D26" t="s">
        <v>11</v>
      </c>
      <c r="E26">
        <v>79</v>
      </c>
      <c r="F26" t="str">
        <f>IF(Rezultati[[#This Row],[Točke]]&gt;49, "da", "ne")</f>
        <v>da</v>
      </c>
    </row>
    <row r="27" spans="2:6" x14ac:dyDescent="0.25">
      <c r="B27" t="s">
        <v>25</v>
      </c>
      <c r="C27" t="s">
        <v>26</v>
      </c>
      <c r="D27" t="s">
        <v>11</v>
      </c>
      <c r="E27">
        <v>70</v>
      </c>
      <c r="F27" t="str">
        <f>IF(Rezultati[[#This Row],[Točke]]&gt;49, "da", "ne")</f>
        <v>da</v>
      </c>
    </row>
    <row r="28" spans="2:6" x14ac:dyDescent="0.25">
      <c r="B28" t="s">
        <v>29</v>
      </c>
      <c r="C28" t="s">
        <v>30</v>
      </c>
      <c r="D28" t="s">
        <v>14</v>
      </c>
      <c r="E28">
        <v>66</v>
      </c>
      <c r="F28" t="str">
        <f>IF(Rezultati[[#This Row],[Točke]]&gt;49, "da", "ne")</f>
        <v>da</v>
      </c>
    </row>
    <row r="29" spans="2:6" x14ac:dyDescent="0.25">
      <c r="B29" t="s">
        <v>27</v>
      </c>
      <c r="C29" t="s">
        <v>28</v>
      </c>
      <c r="D29" t="s">
        <v>14</v>
      </c>
      <c r="E29">
        <v>58</v>
      </c>
      <c r="F29" t="str">
        <f>IF(Rezultati[[#This Row],[Točke]]&gt;49, "da", "ne")</f>
        <v>da</v>
      </c>
    </row>
    <row r="30" spans="2:6" x14ac:dyDescent="0.25">
      <c r="B30" t="s">
        <v>31</v>
      </c>
      <c r="C30" t="s">
        <v>32</v>
      </c>
      <c r="D30" t="s">
        <v>8</v>
      </c>
      <c r="E30">
        <v>46</v>
      </c>
      <c r="F30" t="str">
        <f>IF(Rezultati[[#This Row],[Točke]]&gt;49, "da", 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Urbančič, Veronika</cp:lastModifiedBy>
  <dcterms:created xsi:type="dcterms:W3CDTF">2007-11-10T02:36:44Z</dcterms:created>
  <dcterms:modified xsi:type="dcterms:W3CDTF">2025-12-09T12:13:18Z</dcterms:modified>
</cp:coreProperties>
</file>